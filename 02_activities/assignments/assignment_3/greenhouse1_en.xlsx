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-2024" sheetId="1" r:id="rId4"/>
    <sheet state="visible" name="Visualization" sheetId="2" r:id="rId5"/>
  </sheets>
  <definedNames/>
  <calcPr/>
</workbook>
</file>

<file path=xl/sharedStrings.xml><?xml version="1.0" encoding="utf-8"?>
<sst xmlns="http://schemas.openxmlformats.org/spreadsheetml/2006/main" count="74" uniqueCount="70">
  <si>
    <t>Greenhouse Industry Statistics, Ontario and Canada, 2014 to 2024</t>
  </si>
  <si>
    <t>Item</t>
  </si>
  <si>
    <t>Ontario 2014</t>
  </si>
  <si>
    <t>Ontario 2015</t>
  </si>
  <si>
    <t>Ontario 2016</t>
  </si>
  <si>
    <t>Ontario 2017</t>
  </si>
  <si>
    <t>Ontario 2018</t>
  </si>
  <si>
    <t>Ontario 2019</t>
  </si>
  <si>
    <t>Ontario 2020</t>
  </si>
  <si>
    <t>Ontario 2021</t>
  </si>
  <si>
    <t>Ontario 2022</t>
  </si>
  <si>
    <t>Ontario 2023</t>
  </si>
  <si>
    <t>Ontario 2024</t>
  </si>
  <si>
    <t>Canada 2014</t>
  </si>
  <si>
    <t>Canada 2015</t>
  </si>
  <si>
    <t>Canada 2016</t>
  </si>
  <si>
    <t>Canada 2017</t>
  </si>
  <si>
    <t>Canada 2018</t>
  </si>
  <si>
    <t>Canada 2019</t>
  </si>
  <si>
    <t>Canada 2020</t>
  </si>
  <si>
    <t>Canada 2021</t>
  </si>
  <si>
    <t>Canada 2022</t>
  </si>
  <si>
    <t>Canada 2023</t>
  </si>
  <si>
    <t>Canada 2024</t>
  </si>
  <si>
    <t>Glass ('000 sq m)</t>
  </si>
  <si>
    <t>x</t>
  </si>
  <si>
    <t>Plastic ('000 sq m)</t>
  </si>
  <si>
    <t>Total Area ('000 sq m)</t>
  </si>
  <si>
    <t>sales to retail florists ($'000)</t>
  </si>
  <si>
    <t>sales to domestic wholesalers ($'000)</t>
  </si>
  <si>
    <t>sales to mass market  chain stores ($'000)</t>
  </si>
  <si>
    <t>sales to other greenhouses ($'000)</t>
  </si>
  <si>
    <t>exported ($'000)</t>
  </si>
  <si>
    <r>
      <rPr>
        <rFont val="Arial"/>
        <color theme="1"/>
        <sz val="11.0"/>
      </rPr>
      <t>direct sales to public(a)</t>
    </r>
    <r>
      <rPr>
        <rFont val="Arial"/>
        <color theme="1"/>
        <sz val="11.0"/>
        <vertAlign val="superscript"/>
      </rPr>
      <t xml:space="preserve">  </t>
    </r>
    <r>
      <rPr>
        <rFont val="Arial"/>
        <color theme="1"/>
        <sz val="11.0"/>
      </rPr>
      <t>($'000)</t>
    </r>
  </si>
  <si>
    <t>other channels ($'000)</t>
  </si>
  <si>
    <t>Total Ornamental and Plant Sales ($'000)</t>
  </si>
  <si>
    <t>Total Value of Greenhouse Vegetables ($'000)</t>
  </si>
  <si>
    <t>Total  Greenhouse Sales ($'000)</t>
  </si>
  <si>
    <t>Total greenhouses (no.)</t>
  </si>
  <si>
    <r>
      <rPr>
        <rFont val="Arial"/>
        <color theme="1"/>
        <sz val="11.0"/>
      </rPr>
      <t>Total employees(b)</t>
    </r>
    <r>
      <rPr>
        <rFont val="Arial"/>
        <color theme="1"/>
        <sz val="11.0"/>
        <vertAlign val="superscript"/>
      </rPr>
      <t xml:space="preserve">  </t>
    </r>
    <r>
      <rPr>
        <rFont val="Arial"/>
        <color theme="1"/>
        <sz val="11.0"/>
      </rPr>
      <t>(no.)</t>
    </r>
  </si>
  <si>
    <t>..</t>
  </si>
  <si>
    <t>Total payroll ($'000)</t>
  </si>
  <si>
    <r>
      <rPr>
        <rFont val="Arial"/>
        <color theme="1"/>
        <sz val="11.0"/>
      </rPr>
      <t>Total purchase value(c)</t>
    </r>
    <r>
      <rPr>
        <rFont val="Arial"/>
        <color theme="1"/>
        <sz val="11.0"/>
        <vertAlign val="superscript"/>
      </rPr>
      <t xml:space="preserve">  </t>
    </r>
    <r>
      <rPr>
        <rFont val="Arial"/>
        <color theme="1"/>
        <sz val="11.0"/>
      </rPr>
      <t>($'000)</t>
    </r>
  </si>
  <si>
    <t>Total fuel cost ($'000)</t>
  </si>
  <si>
    <t>Electricity(d) ($'000)</t>
  </si>
  <si>
    <t>Average payroll per employee ($'000)</t>
  </si>
  <si>
    <t># of employees per '000 sqm</t>
  </si>
  <si>
    <t>Payroll per '000sqm ($'000)</t>
  </si>
  <si>
    <t>Purchase value per '000 sqm ($'000)</t>
  </si>
  <si>
    <t>Fuel cost per '000 sqm ($'000)</t>
  </si>
  <si>
    <t>Electricity per '000 sqm ($'000)</t>
  </si>
  <si>
    <t>Total main operational cost per '000 sqm ($'000)</t>
  </si>
  <si>
    <t>Total greenhouse sales per '000 sqm ($'000)</t>
  </si>
  <si>
    <t>Total greenhouse sales - main operational costs per '000 sqm ($'000)</t>
  </si>
  <si>
    <t>(a) Includes roadside stands and owner-owned retail outlets</t>
  </si>
  <si>
    <t>(b) Includes seasonal and permanent labour</t>
  </si>
  <si>
    <t>(c) Includes value of flowers,  plants, cuttings, seedlings, seeds and bulbs purchased (before sales tax)</t>
  </si>
  <si>
    <t xml:space="preserve">(d) Electricity expenses for lighting, airflow fans and heating </t>
  </si>
  <si>
    <t>x  data suppressed due to confidentiality restrictions</t>
  </si>
  <si>
    <t>.. not available for a specific reference period</t>
  </si>
  <si>
    <t>Note: area and no. of greenhouses include only specialized greenhouse flower, plant and vegetables</t>
  </si>
  <si>
    <t>Source:  Statistics Canada, CANSIM tables: 32-10-0019-01; 32-10-0022-01; 32-10-0023-01; 32-10-0026-01; 32-10-0245-01</t>
  </si>
  <si>
    <t>30 April 2025</t>
  </si>
  <si>
    <t>https://data.ontario.ca/dataset/d14a058c-78bc-473c-8abf-79023bf7916b/resource/f1aebf69-f32e-4ebb-b310-8f010dc84ed7/download/greenhouse1_en.xlsx</t>
  </si>
  <si>
    <t>Year</t>
  </si>
  <si>
    <t>Ontario: Average payroll per employee ($'000)</t>
  </si>
  <si>
    <t>Canada: Average payroll per employee ($'000)</t>
  </si>
  <si>
    <t>% difference</t>
  </si>
  <si>
    <t>Average payroll per employee ($'000): Ontario vs Canada</t>
  </si>
  <si>
    <t xml:space="preserve">Source: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</si>
</sst>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"/>
  </numFmts>
  <fonts count="9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Times New Roman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1" fillId="0" fontId="3" numFmtId="0" xfId="0" applyBorder="1" applyFont="1"/>
    <xf borderId="1" fillId="2" fontId="3" numFmtId="164" xfId="0" applyAlignment="1" applyBorder="1" applyFill="1" applyFont="1" applyNumberFormat="1">
      <alignment horizontal="center" shrinkToFit="0" wrapText="1"/>
    </xf>
    <xf borderId="1" fillId="3" fontId="3" numFmtId="164" xfId="0" applyAlignment="1" applyBorder="1" applyFill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3" xfId="0" applyAlignment="1" applyBorder="1" applyFont="1" applyNumberFormat="1">
      <alignment horizontal="right"/>
    </xf>
    <xf borderId="1" fillId="3" fontId="2" numFmtId="3" xfId="0" applyAlignment="1" applyBorder="1" applyFont="1" applyNumberFormat="1">
      <alignment horizontal="right"/>
    </xf>
    <xf borderId="1" fillId="0" fontId="2" numFmtId="3" xfId="0" applyBorder="1" applyFont="1" applyNumberFormat="1"/>
    <xf borderId="1" fillId="0" fontId="3" numFmtId="3" xfId="0" applyBorder="1" applyFont="1" applyNumberFormat="1"/>
    <xf borderId="1" fillId="3" fontId="3" numFmtId="3" xfId="0" applyBorder="1" applyFont="1" applyNumberFormat="1"/>
    <xf borderId="1" fillId="0" fontId="2" numFmtId="0" xfId="0" applyAlignment="1" applyBorder="1" applyFont="1">
      <alignment shrinkToFit="0" wrapText="1"/>
    </xf>
    <xf borderId="1" fillId="3" fontId="2" numFmtId="3" xfId="0" applyBorder="1" applyFont="1" applyNumberForma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right"/>
    </xf>
    <xf borderId="0" fillId="4" fontId="5" numFmtId="0" xfId="0" applyAlignment="1" applyFill="1" applyFont="1">
      <alignment readingOrder="0"/>
    </xf>
    <xf borderId="0" fillId="4" fontId="5" numFmtId="4" xfId="0" applyFont="1" applyNumberFormat="1"/>
    <xf borderId="0" fillId="4" fontId="6" numFmtId="0" xfId="0" applyFont="1"/>
    <xf borderId="0" fillId="4" fontId="4" numFmtId="0" xfId="0" applyAlignment="1" applyFont="1">
      <alignment readingOrder="0"/>
    </xf>
    <xf borderId="0" fillId="4" fontId="5" numFmtId="0" xfId="0" applyFont="1"/>
    <xf borderId="0" fillId="4" fontId="4" numFmtId="4" xfId="0" applyAlignment="1" applyFont="1" applyNumberFormat="1">
      <alignment readingOrder="0"/>
    </xf>
    <xf borderId="0" fillId="4" fontId="6" numFmtId="4" xfId="0" applyFont="1" applyNumberForma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quotePrefix="1" borderId="0" fillId="0" fontId="4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4" xfId="0" applyFont="1" applyNumberFormat="1"/>
    <xf borderId="0" fillId="0" fontId="6" numFmtId="4" xfId="0" applyAlignment="1" applyFont="1" applyNumberForma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sans-serif"/>
              </a:defRPr>
            </a:pPr>
            <a:r>
              <a:rPr b="1" sz="1600">
                <a:solidFill>
                  <a:schemeClr val="dk1"/>
                </a:solidFill>
                <a:latin typeface="sans-serif"/>
              </a:rPr>
              <a:t>Average payroll per employee ($'000): Ontario vs Canada 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Visualization!$A$2</c:f>
            </c:strRef>
          </c:tx>
          <c:spPr>
            <a:solidFill>
              <a:srgbClr val="0072B2"/>
            </a:solidFill>
            <a:ln cmpd="sng">
              <a:solidFill>
                <a:srgbClr val="000000"/>
              </a:solidFill>
            </a:ln>
          </c:spPr>
          <c:cat>
            <c:strRef>
              <c:f>Visualization!$B$1:$K$1</c:f>
            </c:strRef>
          </c:cat>
          <c:val>
            <c:numRef>
              <c:f>Visualization!$B$2:$K$2</c:f>
              <c:numCache/>
            </c:numRef>
          </c:val>
        </c:ser>
        <c:ser>
          <c:idx val="1"/>
          <c:order val="1"/>
          <c:tx>
            <c:strRef>
              <c:f>Visualization!$A$3</c:f>
            </c:strRef>
          </c:tx>
          <c:spPr>
            <a:solidFill>
              <a:srgbClr val="E69138">
                <a:alpha val="90196"/>
              </a:srgbClr>
            </a:solidFill>
            <a:ln cmpd="sng">
              <a:solidFill>
                <a:srgbClr val="E69F00">
                  <a:alpha val="100000"/>
                </a:srgbClr>
              </a:solidFill>
            </a:ln>
          </c:spPr>
          <c:cat>
            <c:strRef>
              <c:f>Visualization!$B$1:$K$1</c:f>
            </c:strRef>
          </c:cat>
          <c:val>
            <c:numRef>
              <c:f>Visualization!$B$3:$K$3</c:f>
              <c:numCache/>
            </c:numRef>
          </c:val>
        </c:ser>
        <c:axId val="1181541133"/>
        <c:axId val="1679056857"/>
      </c:barChart>
      <c:catAx>
        <c:axId val="1181541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 sz="1200">
                    <a:solidFill>
                      <a:srgbClr val="000000"/>
                    </a:solidFill>
                    <a:latin typeface="sans-serif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chemeClr val="dk1"/>
                </a:solidFill>
                <a:latin typeface="sans-serif"/>
              </a:defRPr>
            </a:pPr>
          </a:p>
        </c:txPr>
        <c:crossAx val="1679056857"/>
      </c:catAx>
      <c:valAx>
        <c:axId val="1679056857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chemeClr val="dk1"/>
                </a:solidFill>
                <a:latin typeface="sans-serif"/>
              </a:defRPr>
            </a:pPr>
          </a:p>
        </c:txPr>
        <c:crossAx val="1181541133"/>
      </c:valAx>
      <c:lineChart>
        <c:varyColors val="0"/>
        <c:ser>
          <c:idx val="2"/>
          <c:order val="2"/>
          <c:tx>
            <c:strRef>
              <c:f>Visualization!$A$4</c:f>
            </c:strRef>
          </c:tx>
          <c:spPr>
            <a:ln cmpd="sng">
              <a:solidFill>
                <a:srgbClr val="009E7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Visualization!$B$1:$K$1</c:f>
            </c:strRef>
          </c:cat>
          <c:val>
            <c:numRef>
              <c:f>Visualization!$B$4:$K$4</c:f>
              <c:numCache/>
            </c:numRef>
          </c:val>
          <c:smooth val="0"/>
        </c:ser>
        <c:axId val="588859776"/>
        <c:axId val="480651641"/>
      </c:lineChart>
      <c:catAx>
        <c:axId val="588859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chemeClr val="dk1"/>
                </a:solidFill>
                <a:latin typeface="sans-serif"/>
              </a:defRPr>
            </a:pPr>
          </a:p>
        </c:txPr>
        <c:crossAx val="480651641"/>
      </c:catAx>
      <c:valAx>
        <c:axId val="480651641"/>
        <c:scaling>
          <c:orientation val="minMax"/>
          <c:max val="0.17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sans-serif"/>
              </a:defRPr>
            </a:pPr>
          </a:p>
        </c:txPr>
        <c:crossAx val="588859776"/>
        <c:crosses val="max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5</xdr:row>
      <xdr:rowOff>57150</xdr:rowOff>
    </xdr:from>
    <xdr:ext cx="7200900" cy="3971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ontario.ca/dataset/d14a058c-78bc-473c-8abf-79023bf7916b/resource/f1aebf69-f32e-4ebb-b310-8f010dc84ed7/download/greenhouse1_en.xls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ontario.ca/dataset/d14a058c-78bc-473c-8abf-79023bf7916b/resource/f1aebf69-f32e-4ebb-b310-8f010dc84ed7/download/greenhouse1_en.xlsx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40.63"/>
    <col customWidth="1" min="2" max="12" width="9.13"/>
    <col customWidth="1" min="13" max="13" width="1.38"/>
    <col customWidth="1" min="14" max="24" width="9.13"/>
    <col customWidth="1" min="25" max="26" width="8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2.2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5"/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</row>
    <row r="4" ht="21.75" customHeight="1">
      <c r="A4" s="7" t="s">
        <v>24</v>
      </c>
      <c r="B4" s="8">
        <v>3979.0</v>
      </c>
      <c r="C4" s="8">
        <v>4152.0</v>
      </c>
      <c r="D4" s="8" t="s">
        <v>25</v>
      </c>
      <c r="E4" s="8">
        <v>5313.0</v>
      </c>
      <c r="F4" s="8">
        <v>5714.0</v>
      </c>
      <c r="G4" s="8">
        <v>5907.0</v>
      </c>
      <c r="H4" s="8">
        <v>7416.0</v>
      </c>
      <c r="I4" s="8">
        <v>8662.0</v>
      </c>
      <c r="J4" s="8">
        <v>9078.0</v>
      </c>
      <c r="K4" s="8">
        <v>9342.0</v>
      </c>
      <c r="L4" s="8">
        <v>10214.0</v>
      </c>
      <c r="M4" s="9"/>
      <c r="N4" s="10">
        <v>8347.0</v>
      </c>
      <c r="O4" s="10">
        <v>8407.0</v>
      </c>
      <c r="P4" s="10">
        <v>8918.0</v>
      </c>
      <c r="Q4" s="10">
        <v>9966.0</v>
      </c>
      <c r="R4" s="10">
        <v>9980.0</v>
      </c>
      <c r="S4" s="10">
        <v>10203.0</v>
      </c>
      <c r="T4" s="10">
        <v>12125.0</v>
      </c>
      <c r="U4" s="10">
        <v>13661.0</v>
      </c>
      <c r="V4" s="10">
        <v>14255.0</v>
      </c>
      <c r="W4" s="10">
        <v>14474.0</v>
      </c>
      <c r="X4" s="10">
        <v>15618.0</v>
      </c>
    </row>
    <row r="5" ht="21.75" customHeight="1">
      <c r="A5" s="7" t="s">
        <v>26</v>
      </c>
      <c r="B5" s="8">
        <v>8923.0</v>
      </c>
      <c r="C5" s="8">
        <v>9116.0</v>
      </c>
      <c r="D5" s="8" t="s">
        <v>25</v>
      </c>
      <c r="E5" s="8">
        <v>9125.0</v>
      </c>
      <c r="F5" s="8">
        <v>9360.0</v>
      </c>
      <c r="G5" s="8">
        <v>9223.0</v>
      </c>
      <c r="H5" s="8">
        <v>9094.0</v>
      </c>
      <c r="I5" s="8">
        <v>9096.0</v>
      </c>
      <c r="J5" s="8">
        <v>9753.0</v>
      </c>
      <c r="K5" s="8">
        <v>9149.0</v>
      </c>
      <c r="L5" s="8">
        <v>9754.0</v>
      </c>
      <c r="M5" s="9"/>
      <c r="N5" s="10">
        <v>13184.0</v>
      </c>
      <c r="O5" s="10">
        <v>13325.0</v>
      </c>
      <c r="P5" s="10">
        <v>13343.0</v>
      </c>
      <c r="Q5" s="10">
        <v>13000.0</v>
      </c>
      <c r="R5" s="10">
        <v>13248.0</v>
      </c>
      <c r="S5" s="10">
        <v>12864.0</v>
      </c>
      <c r="T5" s="10">
        <v>12874.0</v>
      </c>
      <c r="U5" s="10">
        <v>12835.0</v>
      </c>
      <c r="V5" s="10">
        <v>13481.0</v>
      </c>
      <c r="W5" s="10">
        <v>13186.0</v>
      </c>
      <c r="X5" s="10">
        <v>13798.0</v>
      </c>
    </row>
    <row r="6" ht="21.75" customHeight="1">
      <c r="A6" s="3" t="s">
        <v>27</v>
      </c>
      <c r="B6" s="11">
        <v>12902.0</v>
      </c>
      <c r="C6" s="11">
        <v>13268.0</v>
      </c>
      <c r="D6" s="11">
        <v>14146.0</v>
      </c>
      <c r="E6" s="11">
        <v>14438.0</v>
      </c>
      <c r="F6" s="11">
        <v>15074.0</v>
      </c>
      <c r="G6" s="11">
        <v>15130.0</v>
      </c>
      <c r="H6" s="11">
        <v>16510.0</v>
      </c>
      <c r="I6" s="11">
        <v>17758.0</v>
      </c>
      <c r="J6" s="11">
        <v>18831.0</v>
      </c>
      <c r="K6" s="11">
        <v>18491.0</v>
      </c>
      <c r="L6" s="11">
        <v>19968.0</v>
      </c>
      <c r="M6" s="12"/>
      <c r="N6" s="11">
        <v>21531.0</v>
      </c>
      <c r="O6" s="11">
        <v>21732.0</v>
      </c>
      <c r="P6" s="11">
        <v>22261.0</v>
      </c>
      <c r="Q6" s="11">
        <v>22966.0</v>
      </c>
      <c r="R6" s="11">
        <v>23228.0</v>
      </c>
      <c r="S6" s="11">
        <v>23067.0</v>
      </c>
      <c r="T6" s="11">
        <v>24999.0</v>
      </c>
      <c r="U6" s="11">
        <v>26496.0</v>
      </c>
      <c r="V6" s="11">
        <v>27736.0</v>
      </c>
      <c r="W6" s="11">
        <v>27660.0</v>
      </c>
      <c r="X6" s="11">
        <v>29416.0</v>
      </c>
    </row>
    <row r="7" ht="21.75" customHeight="1">
      <c r="A7" s="13" t="s">
        <v>28</v>
      </c>
      <c r="B7" s="8">
        <v>81745.0</v>
      </c>
      <c r="C7" s="8">
        <v>81727.0</v>
      </c>
      <c r="D7" s="8">
        <v>69108.0</v>
      </c>
      <c r="E7" s="8">
        <v>66885.0</v>
      </c>
      <c r="F7" s="8">
        <v>71340.0</v>
      </c>
      <c r="G7" s="8">
        <v>73983.0</v>
      </c>
      <c r="H7" s="8">
        <v>80977.0</v>
      </c>
      <c r="I7" s="8">
        <v>99437.0</v>
      </c>
      <c r="J7" s="8">
        <v>103419.0</v>
      </c>
      <c r="K7" s="8">
        <v>101142.0</v>
      </c>
      <c r="L7" s="8">
        <v>83030.0</v>
      </c>
      <c r="M7" s="9"/>
      <c r="N7" s="10">
        <v>184359.0</v>
      </c>
      <c r="O7" s="10">
        <v>191366.0</v>
      </c>
      <c r="P7" s="10">
        <v>171091.0</v>
      </c>
      <c r="Q7" s="10">
        <v>165701.0</v>
      </c>
      <c r="R7" s="10">
        <v>183799.0</v>
      </c>
      <c r="S7" s="10">
        <v>177373.0</v>
      </c>
      <c r="T7" s="10">
        <v>204964.0</v>
      </c>
      <c r="U7" s="10">
        <v>211041.0</v>
      </c>
      <c r="V7" s="10">
        <v>212722.0</v>
      </c>
      <c r="W7" s="10">
        <v>222335.0</v>
      </c>
      <c r="X7" s="10">
        <v>205778.0</v>
      </c>
    </row>
    <row r="8" ht="21.75" customHeight="1">
      <c r="A8" s="13" t="s">
        <v>29</v>
      </c>
      <c r="B8" s="10">
        <v>189691.0</v>
      </c>
      <c r="C8" s="10">
        <v>202292.0</v>
      </c>
      <c r="D8" s="10">
        <v>192741.0</v>
      </c>
      <c r="E8" s="10">
        <v>205356.0</v>
      </c>
      <c r="F8" s="10">
        <v>216359.0</v>
      </c>
      <c r="G8" s="10">
        <v>219141.0</v>
      </c>
      <c r="H8" s="10">
        <v>221692.0</v>
      </c>
      <c r="I8" s="10">
        <v>242414.0</v>
      </c>
      <c r="J8" s="10">
        <v>270822.0</v>
      </c>
      <c r="K8" s="10">
        <v>282422.0</v>
      </c>
      <c r="L8" s="10">
        <v>298875.0</v>
      </c>
      <c r="M8" s="14"/>
      <c r="N8" s="10">
        <v>269337.0</v>
      </c>
      <c r="O8" s="10">
        <v>289641.0</v>
      </c>
      <c r="P8" s="10">
        <v>278827.0</v>
      </c>
      <c r="Q8" s="10">
        <v>283137.0</v>
      </c>
      <c r="R8" s="10">
        <v>309627.0</v>
      </c>
      <c r="S8" s="10">
        <v>317388.0</v>
      </c>
      <c r="T8" s="10">
        <v>308052.0</v>
      </c>
      <c r="U8" s="10">
        <v>343729.0</v>
      </c>
      <c r="V8" s="10">
        <v>440002.0</v>
      </c>
      <c r="W8" s="10">
        <v>453362.0</v>
      </c>
      <c r="X8" s="10">
        <v>466652.0</v>
      </c>
    </row>
    <row r="9" ht="21.75" customHeight="1">
      <c r="A9" s="13" t="s">
        <v>30</v>
      </c>
      <c r="B9" s="10">
        <v>241055.0</v>
      </c>
      <c r="C9" s="10">
        <v>235261.0</v>
      </c>
      <c r="D9" s="10">
        <v>230604.0</v>
      </c>
      <c r="E9" s="10">
        <v>229726.0</v>
      </c>
      <c r="F9" s="10">
        <v>236441.0</v>
      </c>
      <c r="G9" s="10">
        <v>203555.0</v>
      </c>
      <c r="H9" s="10">
        <v>213839.0</v>
      </c>
      <c r="I9" s="10">
        <v>230186.0</v>
      </c>
      <c r="J9" s="10">
        <v>275545.0</v>
      </c>
      <c r="K9" s="10">
        <v>275479.0</v>
      </c>
      <c r="L9" s="10">
        <v>364246.0</v>
      </c>
      <c r="M9" s="14"/>
      <c r="N9" s="10">
        <v>446942.0</v>
      </c>
      <c r="O9" s="10">
        <v>451802.0</v>
      </c>
      <c r="P9" s="10">
        <v>476139.0</v>
      </c>
      <c r="Q9" s="10">
        <v>488711.0</v>
      </c>
      <c r="R9" s="10">
        <v>474346.0</v>
      </c>
      <c r="S9" s="10">
        <v>436471.0</v>
      </c>
      <c r="T9" s="10">
        <v>506992.0</v>
      </c>
      <c r="U9" s="10">
        <v>580627.0</v>
      </c>
      <c r="V9" s="10">
        <v>615095.0</v>
      </c>
      <c r="W9" s="10">
        <v>632144.0</v>
      </c>
      <c r="X9" s="10">
        <v>786185.0</v>
      </c>
    </row>
    <row r="10" ht="21.75" customHeight="1">
      <c r="A10" s="13" t="s">
        <v>31</v>
      </c>
      <c r="B10" s="10">
        <v>73406.0</v>
      </c>
      <c r="C10" s="10">
        <v>100148.0</v>
      </c>
      <c r="D10" s="10">
        <v>102799.0</v>
      </c>
      <c r="E10" s="10">
        <v>109993.0</v>
      </c>
      <c r="F10" s="10">
        <v>113208.0</v>
      </c>
      <c r="G10" s="10">
        <v>113992.0</v>
      </c>
      <c r="H10" s="10">
        <v>115086.0</v>
      </c>
      <c r="I10" s="10">
        <v>117721.0</v>
      </c>
      <c r="J10" s="10">
        <v>129957.0</v>
      </c>
      <c r="K10" s="10">
        <v>153986.0</v>
      </c>
      <c r="L10" s="10">
        <v>139910.0</v>
      </c>
      <c r="M10" s="14"/>
      <c r="N10" s="10">
        <v>137133.0</v>
      </c>
      <c r="O10" s="10">
        <v>167809.0</v>
      </c>
      <c r="P10" s="10">
        <v>161190.0</v>
      </c>
      <c r="Q10" s="10">
        <v>175181.0</v>
      </c>
      <c r="R10" s="10">
        <v>160026.0</v>
      </c>
      <c r="S10" s="10">
        <v>175261.0</v>
      </c>
      <c r="T10" s="10">
        <v>189765.0</v>
      </c>
      <c r="U10" s="10">
        <v>199715.0</v>
      </c>
      <c r="V10" s="10">
        <v>209648.0</v>
      </c>
      <c r="W10" s="10">
        <v>239961.0</v>
      </c>
      <c r="X10" s="10">
        <v>248545.0</v>
      </c>
    </row>
    <row r="11" ht="21.75" customHeight="1">
      <c r="A11" s="7" t="s">
        <v>32</v>
      </c>
      <c r="B11" s="10">
        <v>74610.0</v>
      </c>
      <c r="C11" s="10">
        <v>73635.0</v>
      </c>
      <c r="D11" s="10">
        <v>83816.0</v>
      </c>
      <c r="E11" s="10">
        <v>78701.0</v>
      </c>
      <c r="F11" s="10">
        <v>82002.0</v>
      </c>
      <c r="G11" s="10">
        <v>120182.0</v>
      </c>
      <c r="H11" s="10">
        <v>117580.0</v>
      </c>
      <c r="I11" s="10">
        <v>115946.0</v>
      </c>
      <c r="J11" s="10">
        <v>121659.0</v>
      </c>
      <c r="K11" s="10">
        <v>129505.0</v>
      </c>
      <c r="L11" s="10">
        <v>177894.0</v>
      </c>
      <c r="M11" s="14"/>
      <c r="N11" s="10">
        <v>118452.0</v>
      </c>
      <c r="O11" s="10">
        <v>123238.0</v>
      </c>
      <c r="P11" s="10">
        <v>144400.0</v>
      </c>
      <c r="Q11" s="10">
        <v>141880.0</v>
      </c>
      <c r="R11" s="10">
        <v>158863.0</v>
      </c>
      <c r="S11" s="10">
        <v>210082.0</v>
      </c>
      <c r="T11" s="10">
        <v>203890.0</v>
      </c>
      <c r="U11" s="10">
        <v>205955.0</v>
      </c>
      <c r="V11" s="10">
        <v>213670.0</v>
      </c>
      <c r="W11" s="10">
        <v>226470.0</v>
      </c>
      <c r="X11" s="10">
        <v>306463.0</v>
      </c>
    </row>
    <row r="12" ht="21.75" customHeight="1">
      <c r="A12" s="13" t="s">
        <v>33</v>
      </c>
      <c r="B12" s="8">
        <v>76174.0</v>
      </c>
      <c r="C12" s="8">
        <v>79275.0</v>
      </c>
      <c r="D12" s="8">
        <v>91259.0</v>
      </c>
      <c r="E12" s="8">
        <v>61122.0</v>
      </c>
      <c r="F12" s="8">
        <v>62908.0</v>
      </c>
      <c r="G12" s="8">
        <v>68668.0</v>
      </c>
      <c r="H12" s="8">
        <v>71051.0</v>
      </c>
      <c r="I12" s="8">
        <v>85008.0</v>
      </c>
      <c r="J12" s="8">
        <v>83341.0</v>
      </c>
      <c r="K12" s="8">
        <v>84809.0</v>
      </c>
      <c r="L12" s="8">
        <v>55954.0</v>
      </c>
      <c r="M12" s="9"/>
      <c r="N12" s="10">
        <v>221633.0</v>
      </c>
      <c r="O12" s="10">
        <v>215669.0</v>
      </c>
      <c r="P12" s="10">
        <v>224132.0</v>
      </c>
      <c r="Q12" s="10">
        <v>201410.0</v>
      </c>
      <c r="R12" s="10">
        <v>218867.0</v>
      </c>
      <c r="S12" s="10">
        <v>219555.0</v>
      </c>
      <c r="T12" s="10">
        <v>237339.0</v>
      </c>
      <c r="U12" s="10">
        <v>266265.0</v>
      </c>
      <c r="V12" s="10">
        <v>256631.0</v>
      </c>
      <c r="W12" s="10">
        <v>251680.0</v>
      </c>
      <c r="X12" s="10">
        <v>190859.0</v>
      </c>
    </row>
    <row r="13" ht="21.75" customHeight="1">
      <c r="A13" s="7" t="s">
        <v>34</v>
      </c>
      <c r="B13" s="10">
        <v>20939.0</v>
      </c>
      <c r="C13" s="10">
        <v>23021.0</v>
      </c>
      <c r="D13" s="10">
        <v>20177.0</v>
      </c>
      <c r="E13" s="10">
        <v>23076.0</v>
      </c>
      <c r="F13" s="10">
        <v>22750.0</v>
      </c>
      <c r="G13" s="10">
        <v>18065.0</v>
      </c>
      <c r="H13" s="10">
        <v>19236.0</v>
      </c>
      <c r="I13" s="10">
        <v>23028.0</v>
      </c>
      <c r="J13" s="10">
        <v>22532.0</v>
      </c>
      <c r="K13" s="10">
        <v>23023.0</v>
      </c>
      <c r="L13" s="10">
        <v>19506.0</v>
      </c>
      <c r="M13" s="14"/>
      <c r="N13" s="10">
        <v>65097.0</v>
      </c>
      <c r="O13" s="10">
        <v>66515.0</v>
      </c>
      <c r="P13" s="10">
        <v>54393.0</v>
      </c>
      <c r="Q13" s="10">
        <v>47893.0</v>
      </c>
      <c r="R13" s="10">
        <v>50138.0</v>
      </c>
      <c r="S13" s="10">
        <v>39241.0</v>
      </c>
      <c r="T13" s="10">
        <v>43243.0</v>
      </c>
      <c r="U13" s="10">
        <v>49094.0</v>
      </c>
      <c r="V13" s="10">
        <v>49095.0</v>
      </c>
      <c r="W13" s="10">
        <v>49902.0</v>
      </c>
      <c r="X13" s="10">
        <v>43589.0</v>
      </c>
    </row>
    <row r="14" ht="21.75" customHeight="1">
      <c r="A14" s="15" t="s">
        <v>35</v>
      </c>
      <c r="B14" s="11">
        <v>757620.0</v>
      </c>
      <c r="C14" s="11">
        <v>795359.0</v>
      </c>
      <c r="D14" s="11">
        <v>790504.0</v>
      </c>
      <c r="E14" s="11">
        <v>774859.0</v>
      </c>
      <c r="F14" s="11">
        <v>805008.0</v>
      </c>
      <c r="G14" s="11">
        <v>817586.0</v>
      </c>
      <c r="H14" s="11">
        <v>839461.0</v>
      </c>
      <c r="I14" s="11">
        <v>913740.0</v>
      </c>
      <c r="J14" s="11">
        <v>1007275.0</v>
      </c>
      <c r="K14" s="11">
        <v>1050366.0</v>
      </c>
      <c r="L14" s="11">
        <v>1139415.0</v>
      </c>
      <c r="M14" s="12"/>
      <c r="N14" s="11">
        <v>1442953.0</v>
      </c>
      <c r="O14" s="11">
        <v>1506040.0</v>
      </c>
      <c r="P14" s="11">
        <v>1510172.0</v>
      </c>
      <c r="Q14" s="11">
        <v>1503913.0</v>
      </c>
      <c r="R14" s="11">
        <v>1555666.0</v>
      </c>
      <c r="S14" s="11">
        <v>1575370.0</v>
      </c>
      <c r="T14" s="11">
        <v>1694245.0</v>
      </c>
      <c r="U14" s="11">
        <v>1856426.0</v>
      </c>
      <c r="V14" s="11">
        <v>1996863.0</v>
      </c>
      <c r="W14" s="11">
        <v>2075854.0</v>
      </c>
      <c r="X14" s="11">
        <v>2248071.0</v>
      </c>
    </row>
    <row r="15" ht="21.75" customHeight="1">
      <c r="A15" s="15" t="s">
        <v>36</v>
      </c>
      <c r="B15" s="11">
        <v>805429.0</v>
      </c>
      <c r="C15" s="11">
        <v>835121.0</v>
      </c>
      <c r="D15" s="11">
        <v>860696.0</v>
      </c>
      <c r="E15" s="11">
        <v>918909.0</v>
      </c>
      <c r="F15" s="11">
        <v>963161.0</v>
      </c>
      <c r="G15" s="11">
        <v>1067388.0</v>
      </c>
      <c r="H15" s="11">
        <v>1190663.0</v>
      </c>
      <c r="I15" s="11">
        <v>1300513.0</v>
      </c>
      <c r="J15" s="11">
        <v>1509966.0</v>
      </c>
      <c r="K15" s="11">
        <v>1743852.0</v>
      </c>
      <c r="L15" s="11">
        <v>1885469.0</v>
      </c>
      <c r="M15" s="12"/>
      <c r="N15" s="11">
        <v>1255975.0</v>
      </c>
      <c r="O15" s="11">
        <v>1295856.0</v>
      </c>
      <c r="P15" s="11">
        <v>1331163.0</v>
      </c>
      <c r="Q15" s="11">
        <v>1437089.0</v>
      </c>
      <c r="R15" s="11">
        <v>1512118.0</v>
      </c>
      <c r="S15" s="11">
        <v>1633553.0</v>
      </c>
      <c r="T15" s="11">
        <v>1832159.0</v>
      </c>
      <c r="U15" s="11">
        <v>1979902.0</v>
      </c>
      <c r="V15" s="11">
        <v>2263345.0</v>
      </c>
      <c r="W15" s="11">
        <v>2518686.0</v>
      </c>
      <c r="X15" s="11">
        <v>2734020.0</v>
      </c>
    </row>
    <row r="16" ht="21.75" customHeight="1">
      <c r="A16" s="15" t="s">
        <v>37</v>
      </c>
      <c r="B16" s="11">
        <v>1563049.0</v>
      </c>
      <c r="C16" s="11">
        <v>1630480.0</v>
      </c>
      <c r="D16" s="11">
        <v>1651200.0</v>
      </c>
      <c r="E16" s="11">
        <v>1693768.0</v>
      </c>
      <c r="F16" s="11">
        <v>1768169.0</v>
      </c>
      <c r="G16" s="11">
        <v>1884974.0</v>
      </c>
      <c r="H16" s="11">
        <v>2030124.0</v>
      </c>
      <c r="I16" s="11">
        <v>2214253.0</v>
      </c>
      <c r="J16" s="11">
        <v>2517241.0</v>
      </c>
      <c r="K16" s="11">
        <v>2794218.0</v>
      </c>
      <c r="L16" s="11">
        <v>3024884.0</v>
      </c>
      <c r="M16" s="11"/>
      <c r="N16" s="11">
        <v>2698928.0</v>
      </c>
      <c r="O16" s="11">
        <v>2801896.0</v>
      </c>
      <c r="P16" s="11">
        <v>2841335.0</v>
      </c>
      <c r="Q16" s="11">
        <v>2941002.0</v>
      </c>
      <c r="R16" s="11">
        <v>3067784.0</v>
      </c>
      <c r="S16" s="11">
        <v>3208923.0</v>
      </c>
      <c r="T16" s="11">
        <v>3526404.0</v>
      </c>
      <c r="U16" s="11">
        <v>3836328.0</v>
      </c>
      <c r="V16" s="11">
        <v>4260208.0</v>
      </c>
      <c r="W16" s="11">
        <v>4594540.0</v>
      </c>
      <c r="X16" s="11">
        <v>4982091.0</v>
      </c>
    </row>
    <row r="17" ht="21.75" customHeight="1">
      <c r="A17" s="16" t="s">
        <v>38</v>
      </c>
      <c r="B17" s="11">
        <v>1035.0</v>
      </c>
      <c r="C17" s="11">
        <v>1012.0</v>
      </c>
      <c r="D17" s="11">
        <v>999.0</v>
      </c>
      <c r="E17" s="11">
        <v>931.0</v>
      </c>
      <c r="F17" s="11">
        <v>895.0</v>
      </c>
      <c r="G17" s="11">
        <v>865.0</v>
      </c>
      <c r="H17" s="11">
        <v>860.0</v>
      </c>
      <c r="I17" s="11">
        <v>851.0</v>
      </c>
      <c r="J17" s="11">
        <v>919.0</v>
      </c>
      <c r="K17" s="11">
        <v>908.0</v>
      </c>
      <c r="L17" s="11">
        <v>897.0</v>
      </c>
      <c r="M17" s="12"/>
      <c r="N17" s="11">
        <v>2777.0</v>
      </c>
      <c r="O17" s="11">
        <v>2733.0</v>
      </c>
      <c r="P17" s="11">
        <v>2705.0</v>
      </c>
      <c r="Q17" s="11">
        <v>2592.0</v>
      </c>
      <c r="R17" s="11">
        <v>2512.0</v>
      </c>
      <c r="S17" s="11">
        <v>2463.0</v>
      </c>
      <c r="T17" s="11">
        <v>2473.0</v>
      </c>
      <c r="U17" s="11">
        <v>2449.0</v>
      </c>
      <c r="V17" s="11">
        <v>2475.0</v>
      </c>
      <c r="W17" s="11">
        <v>2507.0</v>
      </c>
      <c r="X17" s="11">
        <v>2518.0</v>
      </c>
    </row>
    <row r="18" ht="21.75" customHeight="1">
      <c r="A18" s="13" t="s">
        <v>39</v>
      </c>
      <c r="B18" s="10">
        <v>15314.0</v>
      </c>
      <c r="C18" s="10">
        <v>15682.0</v>
      </c>
      <c r="D18" s="10">
        <v>15714.0</v>
      </c>
      <c r="E18" s="10">
        <v>16055.0</v>
      </c>
      <c r="F18" s="10">
        <v>16000.0</v>
      </c>
      <c r="G18" s="10">
        <v>16140.0</v>
      </c>
      <c r="H18" s="10">
        <v>17007.0</v>
      </c>
      <c r="I18" s="10">
        <v>18509.0</v>
      </c>
      <c r="J18" s="10">
        <v>18956.0</v>
      </c>
      <c r="K18" s="10">
        <v>19371.0</v>
      </c>
      <c r="L18" s="8" t="s">
        <v>40</v>
      </c>
      <c r="M18" s="14"/>
      <c r="N18" s="10">
        <v>33197.0</v>
      </c>
      <c r="O18" s="10">
        <v>33379.0</v>
      </c>
      <c r="P18" s="10">
        <v>32612.0</v>
      </c>
      <c r="Q18" s="10">
        <v>33089.0</v>
      </c>
      <c r="R18" s="10">
        <v>32578.0</v>
      </c>
      <c r="S18" s="10">
        <v>32649.0</v>
      </c>
      <c r="T18" s="10">
        <v>34411.0</v>
      </c>
      <c r="U18" s="10">
        <v>36581.0</v>
      </c>
      <c r="V18" s="10">
        <v>37184.0</v>
      </c>
      <c r="W18" s="10">
        <v>37690.0</v>
      </c>
      <c r="X18" s="17" t="s">
        <v>40</v>
      </c>
    </row>
    <row r="19" ht="21.75" customHeight="1">
      <c r="A19" s="7" t="s">
        <v>41</v>
      </c>
      <c r="B19" s="10">
        <v>348844.0</v>
      </c>
      <c r="C19" s="10">
        <v>379829.0</v>
      </c>
      <c r="D19" s="10">
        <v>389728.0</v>
      </c>
      <c r="E19" s="10">
        <v>408589.0</v>
      </c>
      <c r="F19" s="10">
        <v>421606.0</v>
      </c>
      <c r="G19" s="10">
        <v>449371.0</v>
      </c>
      <c r="H19" s="10">
        <v>487185.0</v>
      </c>
      <c r="I19" s="10">
        <v>550673.0</v>
      </c>
      <c r="J19" s="10">
        <v>600794.0</v>
      </c>
      <c r="K19" s="10">
        <v>655384.0</v>
      </c>
      <c r="L19" s="10">
        <v>660953.0</v>
      </c>
      <c r="M19" s="14"/>
      <c r="N19" s="10">
        <v>663025.0</v>
      </c>
      <c r="O19" s="10">
        <v>713207.0</v>
      </c>
      <c r="P19" s="10">
        <v>713055.0</v>
      </c>
      <c r="Q19" s="10">
        <v>735287.0</v>
      </c>
      <c r="R19" s="10">
        <v>756629.0</v>
      </c>
      <c r="S19" s="10">
        <v>790694.0</v>
      </c>
      <c r="T19" s="10">
        <v>867669.0</v>
      </c>
      <c r="U19" s="10">
        <v>953918.0</v>
      </c>
      <c r="V19" s="10">
        <v>1023472.0</v>
      </c>
      <c r="W19" s="10">
        <v>1102245.0</v>
      </c>
      <c r="X19" s="10">
        <v>1112999.0</v>
      </c>
    </row>
    <row r="20" ht="21.75" customHeight="1">
      <c r="A20" s="13" t="s">
        <v>42</v>
      </c>
      <c r="B20" s="10">
        <v>274388.0</v>
      </c>
      <c r="C20" s="10">
        <v>286927.0</v>
      </c>
      <c r="D20" s="10">
        <v>307290.0</v>
      </c>
      <c r="E20" s="10">
        <v>319378.0</v>
      </c>
      <c r="F20" s="10">
        <v>323830.0</v>
      </c>
      <c r="G20" s="10">
        <v>320464.0</v>
      </c>
      <c r="H20" s="10">
        <v>344522.0</v>
      </c>
      <c r="I20" s="10">
        <v>366562.0</v>
      </c>
      <c r="J20" s="10">
        <v>423003.0</v>
      </c>
      <c r="K20" s="10">
        <v>453892.0</v>
      </c>
      <c r="L20" s="10">
        <v>497676.0</v>
      </c>
      <c r="M20" s="14"/>
      <c r="N20" s="10">
        <v>463320.0</v>
      </c>
      <c r="O20" s="10">
        <v>482930.0</v>
      </c>
      <c r="P20" s="10">
        <v>505806.0</v>
      </c>
      <c r="Q20" s="10">
        <v>523242.0</v>
      </c>
      <c r="R20" s="10">
        <v>533957.0</v>
      </c>
      <c r="S20" s="10">
        <v>539414.0</v>
      </c>
      <c r="T20" s="10">
        <v>594071.0</v>
      </c>
      <c r="U20" s="10">
        <v>639329.0</v>
      </c>
      <c r="V20" s="10">
        <v>696919.0</v>
      </c>
      <c r="W20" s="10">
        <v>730575.0</v>
      </c>
      <c r="X20" s="10">
        <v>789331.0</v>
      </c>
    </row>
    <row r="21" ht="21.75" customHeight="1">
      <c r="A21" s="7" t="s">
        <v>43</v>
      </c>
      <c r="B21" s="8">
        <v>149650.0</v>
      </c>
      <c r="C21" s="8">
        <v>145647.0</v>
      </c>
      <c r="D21" s="8">
        <v>129113.0</v>
      </c>
      <c r="E21" s="8">
        <v>137253.0</v>
      </c>
      <c r="F21" s="8">
        <v>142727.0</v>
      </c>
      <c r="G21" s="8">
        <v>134914.0</v>
      </c>
      <c r="H21" s="8">
        <v>132789.0</v>
      </c>
      <c r="I21" s="8">
        <v>150511.0</v>
      </c>
      <c r="J21" s="8">
        <v>164575.0</v>
      </c>
      <c r="K21" s="8">
        <v>174035.0</v>
      </c>
      <c r="L21" s="8">
        <v>178015.0</v>
      </c>
      <c r="M21" s="9"/>
      <c r="N21" s="10">
        <v>232038.0</v>
      </c>
      <c r="O21" s="10">
        <v>225711.0</v>
      </c>
      <c r="P21" s="10">
        <v>203220.0</v>
      </c>
      <c r="Q21" s="10">
        <v>216908.0</v>
      </c>
      <c r="R21" s="10">
        <v>224923.0</v>
      </c>
      <c r="S21" s="10">
        <v>220115.0</v>
      </c>
      <c r="T21" s="10">
        <v>216270.0</v>
      </c>
      <c r="U21" s="10">
        <v>240468.0</v>
      </c>
      <c r="V21" s="10">
        <v>262472.0</v>
      </c>
      <c r="W21" s="10">
        <v>277116.0</v>
      </c>
      <c r="X21" s="10">
        <v>275869.0</v>
      </c>
    </row>
    <row r="22" ht="21.75" customHeight="1">
      <c r="A22" s="7" t="s">
        <v>44</v>
      </c>
      <c r="B22" s="8">
        <v>38255.0</v>
      </c>
      <c r="C22" s="8">
        <v>41433.0</v>
      </c>
      <c r="D22" s="8">
        <v>46716.0</v>
      </c>
      <c r="E22" s="8">
        <v>44517.0</v>
      </c>
      <c r="F22" s="8">
        <v>44725.0</v>
      </c>
      <c r="G22" s="8">
        <v>41569.0</v>
      </c>
      <c r="H22" s="8">
        <v>44357.0</v>
      </c>
      <c r="I22" s="8">
        <v>59949.0</v>
      </c>
      <c r="J22" s="8">
        <v>64636.0</v>
      </c>
      <c r="K22" s="8">
        <v>82249.0</v>
      </c>
      <c r="L22" s="8">
        <v>90709.0</v>
      </c>
      <c r="M22" s="9"/>
      <c r="N22" s="10">
        <v>68723.0</v>
      </c>
      <c r="O22" s="10">
        <v>71905.0</v>
      </c>
      <c r="P22" s="10">
        <v>76115.0</v>
      </c>
      <c r="Q22" s="10">
        <v>79050.0</v>
      </c>
      <c r="R22" s="10">
        <v>79334.0</v>
      </c>
      <c r="S22" s="10">
        <v>80458.0</v>
      </c>
      <c r="T22" s="10">
        <v>92745.0</v>
      </c>
      <c r="U22" s="10">
        <v>109948.0</v>
      </c>
      <c r="V22" s="10">
        <v>117301.0</v>
      </c>
      <c r="W22" s="10">
        <v>137112.0</v>
      </c>
      <c r="X22" s="10">
        <v>148458.0</v>
      </c>
    </row>
    <row r="23" ht="12.75" customHeight="1">
      <c r="A23" s="18" t="s">
        <v>45</v>
      </c>
      <c r="B23" s="19">
        <f t="shared" ref="B23:X23" si="1">B19/B18</f>
        <v>22.77941753</v>
      </c>
      <c r="C23" s="19">
        <f t="shared" si="1"/>
        <v>24.22069889</v>
      </c>
      <c r="D23" s="19">
        <f t="shared" si="1"/>
        <v>24.80132366</v>
      </c>
      <c r="E23" s="19">
        <f t="shared" si="1"/>
        <v>25.44933043</v>
      </c>
      <c r="F23" s="19">
        <f t="shared" si="1"/>
        <v>26.350375</v>
      </c>
      <c r="G23" s="19">
        <f t="shared" si="1"/>
        <v>27.84206939</v>
      </c>
      <c r="H23" s="19">
        <f t="shared" si="1"/>
        <v>28.6461457</v>
      </c>
      <c r="I23" s="19">
        <f t="shared" si="1"/>
        <v>29.75163434</v>
      </c>
      <c r="J23" s="19">
        <f t="shared" si="1"/>
        <v>31.69413378</v>
      </c>
      <c r="K23" s="19">
        <f t="shared" si="1"/>
        <v>33.8332559</v>
      </c>
      <c r="L23" s="19" t="str">
        <f t="shared" si="1"/>
        <v>#VALUE!</v>
      </c>
      <c r="M23" s="19" t="str">
        <f t="shared" si="1"/>
        <v>#DIV/0!</v>
      </c>
      <c r="N23" s="19">
        <f t="shared" si="1"/>
        <v>19.97243727</v>
      </c>
      <c r="O23" s="19">
        <f t="shared" si="1"/>
        <v>21.3669373</v>
      </c>
      <c r="P23" s="19">
        <f t="shared" si="1"/>
        <v>21.86480437</v>
      </c>
      <c r="Q23" s="19">
        <f t="shared" si="1"/>
        <v>22.22149355</v>
      </c>
      <c r="R23" s="19">
        <f t="shared" si="1"/>
        <v>23.22515194</v>
      </c>
      <c r="S23" s="19">
        <f t="shared" si="1"/>
        <v>24.21801587</v>
      </c>
      <c r="T23" s="19">
        <f t="shared" si="1"/>
        <v>25.21487315</v>
      </c>
      <c r="U23" s="19">
        <f t="shared" si="1"/>
        <v>26.07687051</v>
      </c>
      <c r="V23" s="19">
        <f t="shared" si="1"/>
        <v>27.52452668</v>
      </c>
      <c r="W23" s="19">
        <f t="shared" si="1"/>
        <v>29.24502521</v>
      </c>
      <c r="X23" s="19" t="str">
        <f t="shared" si="1"/>
        <v>#VALUE!</v>
      </c>
      <c r="Y23" s="20"/>
      <c r="Z23" s="20"/>
    </row>
    <row r="24" ht="12.75" customHeight="1">
      <c r="A24" s="18" t="s">
        <v>46</v>
      </c>
      <c r="B24" s="19">
        <f t="shared" ref="B24:X24" si="2">B18/B$6</f>
        <v>1.18694776</v>
      </c>
      <c r="C24" s="19">
        <f t="shared" si="2"/>
        <v>1.181941513</v>
      </c>
      <c r="D24" s="19">
        <f t="shared" si="2"/>
        <v>1.110844055</v>
      </c>
      <c r="E24" s="19">
        <f t="shared" si="2"/>
        <v>1.111996121</v>
      </c>
      <c r="F24" s="19">
        <f t="shared" si="2"/>
        <v>1.061430277</v>
      </c>
      <c r="G24" s="19">
        <f t="shared" si="2"/>
        <v>1.066754792</v>
      </c>
      <c r="H24" s="19">
        <f t="shared" si="2"/>
        <v>1.030102968</v>
      </c>
      <c r="I24" s="19">
        <f t="shared" si="2"/>
        <v>1.042290799</v>
      </c>
      <c r="J24" s="19">
        <f t="shared" si="2"/>
        <v>1.006637991</v>
      </c>
      <c r="K24" s="19">
        <f t="shared" si="2"/>
        <v>1.04759072</v>
      </c>
      <c r="L24" s="19" t="str">
        <f t="shared" si="2"/>
        <v>#VALUE!</v>
      </c>
      <c r="M24" s="19" t="str">
        <f t="shared" si="2"/>
        <v>#DIV/0!</v>
      </c>
      <c r="N24" s="19">
        <f t="shared" si="2"/>
        <v>1.541823417</v>
      </c>
      <c r="O24" s="19">
        <f t="shared" si="2"/>
        <v>1.535937788</v>
      </c>
      <c r="P24" s="19">
        <f t="shared" si="2"/>
        <v>1.464983604</v>
      </c>
      <c r="Q24" s="19">
        <f t="shared" si="2"/>
        <v>1.440782026</v>
      </c>
      <c r="R24" s="19">
        <f t="shared" si="2"/>
        <v>1.402531428</v>
      </c>
      <c r="S24" s="19">
        <f t="shared" si="2"/>
        <v>1.415398621</v>
      </c>
      <c r="T24" s="19">
        <f t="shared" si="2"/>
        <v>1.37649506</v>
      </c>
      <c r="U24" s="19">
        <f t="shared" si="2"/>
        <v>1.38062349</v>
      </c>
      <c r="V24" s="19">
        <f t="shared" si="2"/>
        <v>1.340640323</v>
      </c>
      <c r="W24" s="19">
        <f t="shared" si="2"/>
        <v>1.362617498</v>
      </c>
      <c r="X24" s="19" t="str">
        <f t="shared" si="2"/>
        <v>#VALUE!</v>
      </c>
      <c r="Y24" s="20"/>
      <c r="Z24" s="20"/>
    </row>
    <row r="25" ht="12.75" customHeight="1">
      <c r="A25" s="18" t="s">
        <v>47</v>
      </c>
      <c r="B25" s="19">
        <f t="shared" ref="B25:X25" si="3">B19/B$6</f>
        <v>27.03797861</v>
      </c>
      <c r="C25" s="19">
        <f t="shared" si="3"/>
        <v>28.6274495</v>
      </c>
      <c r="D25" s="19">
        <f t="shared" si="3"/>
        <v>27.55040294</v>
      </c>
      <c r="E25" s="19">
        <f t="shared" si="3"/>
        <v>28.29955673</v>
      </c>
      <c r="F25" s="19">
        <f t="shared" si="3"/>
        <v>27.96908584</v>
      </c>
      <c r="G25" s="19">
        <f t="shared" si="3"/>
        <v>29.70066094</v>
      </c>
      <c r="H25" s="19">
        <f t="shared" si="3"/>
        <v>29.50847971</v>
      </c>
      <c r="I25" s="19">
        <f t="shared" si="3"/>
        <v>31.00985471</v>
      </c>
      <c r="J25" s="19">
        <f t="shared" si="3"/>
        <v>31.90451914</v>
      </c>
      <c r="K25" s="19">
        <f t="shared" si="3"/>
        <v>35.4434049</v>
      </c>
      <c r="L25" s="19">
        <f t="shared" si="3"/>
        <v>33.10061098</v>
      </c>
      <c r="M25" s="19" t="str">
        <f t="shared" si="3"/>
        <v>#DIV/0!</v>
      </c>
      <c r="N25" s="19">
        <f t="shared" si="3"/>
        <v>30.79397148</v>
      </c>
      <c r="O25" s="19">
        <f t="shared" si="3"/>
        <v>32.8182864</v>
      </c>
      <c r="P25" s="19">
        <f t="shared" si="3"/>
        <v>32.03157989</v>
      </c>
      <c r="Q25" s="19">
        <f t="shared" si="3"/>
        <v>32.01632849</v>
      </c>
      <c r="R25" s="19">
        <f t="shared" si="3"/>
        <v>32.57400551</v>
      </c>
      <c r="S25" s="19">
        <f t="shared" si="3"/>
        <v>34.27814627</v>
      </c>
      <c r="T25" s="19">
        <f t="shared" si="3"/>
        <v>34.70814833</v>
      </c>
      <c r="U25" s="19">
        <f t="shared" si="3"/>
        <v>36.00233998</v>
      </c>
      <c r="V25" s="19">
        <f t="shared" si="3"/>
        <v>36.90049034</v>
      </c>
      <c r="W25" s="19">
        <f t="shared" si="3"/>
        <v>39.84978308</v>
      </c>
      <c r="X25" s="19">
        <f t="shared" si="3"/>
        <v>37.83651754</v>
      </c>
      <c r="Y25" s="20"/>
      <c r="Z25" s="20"/>
    </row>
    <row r="26" ht="12.75" customHeight="1">
      <c r="A26" s="18" t="s">
        <v>48</v>
      </c>
      <c r="B26" s="19">
        <f t="shared" ref="B26:X26" si="4">B20/B$6</f>
        <v>21.26709037</v>
      </c>
      <c r="C26" s="19">
        <f t="shared" si="4"/>
        <v>21.6254899</v>
      </c>
      <c r="D26" s="19">
        <f t="shared" si="4"/>
        <v>21.72274848</v>
      </c>
      <c r="E26" s="19">
        <f t="shared" si="4"/>
        <v>22.12065383</v>
      </c>
      <c r="F26" s="19">
        <f t="shared" si="4"/>
        <v>21.48268542</v>
      </c>
      <c r="G26" s="19">
        <f t="shared" si="4"/>
        <v>21.18070059</v>
      </c>
      <c r="H26" s="19">
        <f t="shared" si="4"/>
        <v>20.86747426</v>
      </c>
      <c r="I26" s="19">
        <f t="shared" si="4"/>
        <v>20.64207681</v>
      </c>
      <c r="J26" s="19">
        <f t="shared" si="4"/>
        <v>22.46311932</v>
      </c>
      <c r="K26" s="19">
        <f t="shared" si="4"/>
        <v>24.54664431</v>
      </c>
      <c r="L26" s="19">
        <f t="shared" si="4"/>
        <v>24.92367788</v>
      </c>
      <c r="M26" s="19" t="str">
        <f t="shared" si="4"/>
        <v>#DIV/0!</v>
      </c>
      <c r="N26" s="19">
        <f t="shared" si="4"/>
        <v>21.51874042</v>
      </c>
      <c r="O26" s="19">
        <f t="shared" si="4"/>
        <v>22.22206884</v>
      </c>
      <c r="P26" s="19">
        <f t="shared" si="4"/>
        <v>22.72162077</v>
      </c>
      <c r="Q26" s="19">
        <f t="shared" si="4"/>
        <v>22.78333188</v>
      </c>
      <c r="R26" s="19">
        <f t="shared" si="4"/>
        <v>22.98764422</v>
      </c>
      <c r="S26" s="19">
        <f t="shared" si="4"/>
        <v>23.38466207</v>
      </c>
      <c r="T26" s="19">
        <f t="shared" si="4"/>
        <v>23.76379055</v>
      </c>
      <c r="U26" s="19">
        <f t="shared" si="4"/>
        <v>24.12926479</v>
      </c>
      <c r="V26" s="19">
        <f t="shared" si="4"/>
        <v>25.12687482</v>
      </c>
      <c r="W26" s="19">
        <f t="shared" si="4"/>
        <v>26.4126898</v>
      </c>
      <c r="X26" s="19">
        <f t="shared" si="4"/>
        <v>26.83338999</v>
      </c>
      <c r="Y26" s="20"/>
      <c r="Z26" s="20"/>
    </row>
    <row r="27" ht="12.75" customHeight="1">
      <c r="A27" s="18" t="s">
        <v>49</v>
      </c>
      <c r="B27" s="19">
        <f t="shared" ref="B27:X27" si="5">B21/B$6</f>
        <v>11.5989769</v>
      </c>
      <c r="C27" s="19">
        <f t="shared" si="5"/>
        <v>10.97731384</v>
      </c>
      <c r="D27" s="19">
        <f t="shared" si="5"/>
        <v>9.127173759</v>
      </c>
      <c r="E27" s="19">
        <f t="shared" si="5"/>
        <v>9.506372074</v>
      </c>
      <c r="F27" s="19">
        <f t="shared" si="5"/>
        <v>9.468422449</v>
      </c>
      <c r="G27" s="19">
        <f t="shared" si="5"/>
        <v>8.91698612</v>
      </c>
      <c r="H27" s="19">
        <f t="shared" si="5"/>
        <v>8.042943671</v>
      </c>
      <c r="I27" s="19">
        <f t="shared" si="5"/>
        <v>8.475672936</v>
      </c>
      <c r="J27" s="19">
        <f t="shared" si="5"/>
        <v>8.739578355</v>
      </c>
      <c r="K27" s="19">
        <f t="shared" si="5"/>
        <v>9.411876048</v>
      </c>
      <c r="L27" s="19">
        <f t="shared" si="5"/>
        <v>8.915014022</v>
      </c>
      <c r="M27" s="19" t="str">
        <f t="shared" si="5"/>
        <v>#DIV/0!</v>
      </c>
      <c r="N27" s="19">
        <f t="shared" si="5"/>
        <v>10.77692629</v>
      </c>
      <c r="O27" s="19">
        <f t="shared" si="5"/>
        <v>10.38611264</v>
      </c>
      <c r="P27" s="19">
        <f t="shared" si="5"/>
        <v>9.128969947</v>
      </c>
      <c r="Q27" s="19">
        <f t="shared" si="5"/>
        <v>9.444744405</v>
      </c>
      <c r="R27" s="19">
        <f t="shared" si="5"/>
        <v>9.683270191</v>
      </c>
      <c r="S27" s="19">
        <f t="shared" si="5"/>
        <v>9.542419907</v>
      </c>
      <c r="T27" s="19">
        <f t="shared" si="5"/>
        <v>8.651146046</v>
      </c>
      <c r="U27" s="19">
        <f t="shared" si="5"/>
        <v>9.075634058</v>
      </c>
      <c r="V27" s="19">
        <f t="shared" si="5"/>
        <v>9.46322469</v>
      </c>
      <c r="W27" s="19">
        <f t="shared" si="5"/>
        <v>10.0186551</v>
      </c>
      <c r="X27" s="19">
        <f t="shared" si="5"/>
        <v>9.37819554</v>
      </c>
      <c r="Y27" s="20"/>
      <c r="Z27" s="20"/>
    </row>
    <row r="28" ht="12.75" customHeight="1">
      <c r="A28" s="18" t="s">
        <v>50</v>
      </c>
      <c r="B28" s="19">
        <f t="shared" ref="B28:X28" si="6">B22/B$6</f>
        <v>2.965044179</v>
      </c>
      <c r="C28" s="19">
        <f t="shared" si="6"/>
        <v>3.122776605</v>
      </c>
      <c r="D28" s="19">
        <f t="shared" si="6"/>
        <v>3.302417645</v>
      </c>
      <c r="E28" s="19">
        <f t="shared" si="6"/>
        <v>3.08332179</v>
      </c>
      <c r="F28" s="19">
        <f t="shared" si="6"/>
        <v>2.967029322</v>
      </c>
      <c r="G28" s="19">
        <f t="shared" si="6"/>
        <v>2.747455387</v>
      </c>
      <c r="H28" s="19">
        <f t="shared" si="6"/>
        <v>2.686674743</v>
      </c>
      <c r="I28" s="19">
        <f t="shared" si="6"/>
        <v>3.375886924</v>
      </c>
      <c r="J28" s="19">
        <f t="shared" si="6"/>
        <v>3.432425256</v>
      </c>
      <c r="K28" s="19">
        <f t="shared" si="6"/>
        <v>4.448055811</v>
      </c>
      <c r="L28" s="19">
        <f t="shared" si="6"/>
        <v>4.542718349</v>
      </c>
      <c r="M28" s="19" t="str">
        <f t="shared" si="6"/>
        <v>#DIV/0!</v>
      </c>
      <c r="N28" s="19">
        <f t="shared" si="6"/>
        <v>3.191816451</v>
      </c>
      <c r="O28" s="19">
        <f t="shared" si="6"/>
        <v>3.308715259</v>
      </c>
      <c r="P28" s="19">
        <f t="shared" si="6"/>
        <v>3.419208481</v>
      </c>
      <c r="Q28" s="19">
        <f t="shared" si="6"/>
        <v>3.442044762</v>
      </c>
      <c r="R28" s="19">
        <f t="shared" si="6"/>
        <v>3.415446874</v>
      </c>
      <c r="S28" s="19">
        <f t="shared" si="6"/>
        <v>3.488013179</v>
      </c>
      <c r="T28" s="19">
        <f t="shared" si="6"/>
        <v>3.709948398</v>
      </c>
      <c r="U28" s="19">
        <f t="shared" si="6"/>
        <v>4.149607488</v>
      </c>
      <c r="V28" s="19">
        <f t="shared" si="6"/>
        <v>4.229196712</v>
      </c>
      <c r="W28" s="19">
        <f t="shared" si="6"/>
        <v>4.957049892</v>
      </c>
      <c r="X28" s="19">
        <f t="shared" si="6"/>
        <v>5.046845254</v>
      </c>
      <c r="Y28" s="20"/>
      <c r="Z28" s="20"/>
    </row>
    <row r="29" ht="12.75" customHeight="1">
      <c r="A29" s="21" t="s">
        <v>51</v>
      </c>
      <c r="B29" s="19">
        <f t="shared" ref="B29:X29" si="7">sum(B25:B28)</f>
        <v>62.86909006</v>
      </c>
      <c r="C29" s="19">
        <f t="shared" si="7"/>
        <v>64.35302985</v>
      </c>
      <c r="D29" s="19">
        <f t="shared" si="7"/>
        <v>61.70274282</v>
      </c>
      <c r="E29" s="19">
        <f t="shared" si="7"/>
        <v>63.00990442</v>
      </c>
      <c r="F29" s="19">
        <f t="shared" si="7"/>
        <v>61.88722303</v>
      </c>
      <c r="G29" s="19">
        <f t="shared" si="7"/>
        <v>62.54580304</v>
      </c>
      <c r="H29" s="19">
        <f t="shared" si="7"/>
        <v>61.10557238</v>
      </c>
      <c r="I29" s="19">
        <f t="shared" si="7"/>
        <v>63.50349138</v>
      </c>
      <c r="J29" s="19">
        <f t="shared" si="7"/>
        <v>66.53964208</v>
      </c>
      <c r="K29" s="19">
        <f t="shared" si="7"/>
        <v>73.84998107</v>
      </c>
      <c r="L29" s="19">
        <f t="shared" si="7"/>
        <v>71.48202123</v>
      </c>
      <c r="M29" s="22" t="str">
        <f t="shared" si="7"/>
        <v>#DIV/0!</v>
      </c>
      <c r="N29" s="19">
        <f t="shared" si="7"/>
        <v>66.28145465</v>
      </c>
      <c r="O29" s="19">
        <f t="shared" si="7"/>
        <v>68.73518314</v>
      </c>
      <c r="P29" s="19">
        <f t="shared" si="7"/>
        <v>67.30137909</v>
      </c>
      <c r="Q29" s="19">
        <f t="shared" si="7"/>
        <v>67.68644953</v>
      </c>
      <c r="R29" s="19">
        <f t="shared" si="7"/>
        <v>68.6603668</v>
      </c>
      <c r="S29" s="19">
        <f t="shared" si="7"/>
        <v>70.69324143</v>
      </c>
      <c r="T29" s="19">
        <f t="shared" si="7"/>
        <v>70.83303332</v>
      </c>
      <c r="U29" s="19">
        <f t="shared" si="7"/>
        <v>73.35684632</v>
      </c>
      <c r="V29" s="19">
        <f t="shared" si="7"/>
        <v>75.71978656</v>
      </c>
      <c r="W29" s="19">
        <f t="shared" si="7"/>
        <v>81.23817787</v>
      </c>
      <c r="X29" s="19">
        <f t="shared" si="7"/>
        <v>79.09494833</v>
      </c>
      <c r="Y29" s="20"/>
      <c r="Z29" s="20"/>
    </row>
    <row r="30" ht="12.75" customHeight="1">
      <c r="A30" s="23" t="s">
        <v>52</v>
      </c>
      <c r="B30" s="19">
        <f t="shared" ref="B30:X30" si="8">B16/B$6</f>
        <v>121.1478065</v>
      </c>
      <c r="C30" s="19">
        <f t="shared" si="8"/>
        <v>122.8881519</v>
      </c>
      <c r="D30" s="19">
        <f t="shared" si="8"/>
        <v>116.7255761</v>
      </c>
      <c r="E30" s="19">
        <f t="shared" si="8"/>
        <v>117.3132013</v>
      </c>
      <c r="F30" s="19">
        <f t="shared" si="8"/>
        <v>117.299257</v>
      </c>
      <c r="G30" s="19">
        <f t="shared" si="8"/>
        <v>124.585195</v>
      </c>
      <c r="H30" s="19">
        <f t="shared" si="8"/>
        <v>122.963295</v>
      </c>
      <c r="I30" s="19">
        <f t="shared" si="8"/>
        <v>124.6904494</v>
      </c>
      <c r="J30" s="19">
        <f t="shared" si="8"/>
        <v>133.6753757</v>
      </c>
      <c r="K30" s="19">
        <f t="shared" si="8"/>
        <v>151.1123249</v>
      </c>
      <c r="L30" s="19">
        <f t="shared" si="8"/>
        <v>151.4865785</v>
      </c>
      <c r="M30" s="19" t="str">
        <f t="shared" si="8"/>
        <v>#DIV/0!</v>
      </c>
      <c r="N30" s="19">
        <f t="shared" si="8"/>
        <v>125.3507965</v>
      </c>
      <c r="O30" s="19">
        <f t="shared" si="8"/>
        <v>128.9295049</v>
      </c>
      <c r="P30" s="19">
        <f t="shared" si="8"/>
        <v>127.6373478</v>
      </c>
      <c r="Q30" s="19">
        <f t="shared" si="8"/>
        <v>128.0589567</v>
      </c>
      <c r="R30" s="19">
        <f t="shared" si="8"/>
        <v>132.0726709</v>
      </c>
      <c r="S30" s="19">
        <f t="shared" si="8"/>
        <v>139.1131487</v>
      </c>
      <c r="T30" s="19">
        <f t="shared" si="8"/>
        <v>141.0618025</v>
      </c>
      <c r="U30" s="19">
        <f t="shared" si="8"/>
        <v>144.7889493</v>
      </c>
      <c r="V30" s="19">
        <f t="shared" si="8"/>
        <v>153.5985001</v>
      </c>
      <c r="W30" s="19">
        <f t="shared" si="8"/>
        <v>166.1077368</v>
      </c>
      <c r="X30" s="19">
        <f t="shared" si="8"/>
        <v>169.3667052</v>
      </c>
      <c r="Y30" s="24"/>
      <c r="Z30" s="24"/>
    </row>
    <row r="31" ht="12.75" customHeight="1">
      <c r="A31" s="23" t="s">
        <v>53</v>
      </c>
      <c r="B31" s="19">
        <f t="shared" ref="B31:X31" si="9">(B16-SUM(B19:B22))/B$6</f>
        <v>58.27871648</v>
      </c>
      <c r="C31" s="19">
        <f t="shared" si="9"/>
        <v>58.5351221</v>
      </c>
      <c r="D31" s="19">
        <f t="shared" si="9"/>
        <v>55.02283331</v>
      </c>
      <c r="E31" s="19">
        <f t="shared" si="9"/>
        <v>54.30329686</v>
      </c>
      <c r="F31" s="19">
        <f t="shared" si="9"/>
        <v>55.41203397</v>
      </c>
      <c r="G31" s="19">
        <f t="shared" si="9"/>
        <v>62.03939194</v>
      </c>
      <c r="H31" s="19">
        <f t="shared" si="9"/>
        <v>61.85772259</v>
      </c>
      <c r="I31" s="19">
        <f t="shared" si="9"/>
        <v>61.18695799</v>
      </c>
      <c r="J31" s="19">
        <f t="shared" si="9"/>
        <v>67.13573363</v>
      </c>
      <c r="K31" s="19">
        <f t="shared" si="9"/>
        <v>77.26234384</v>
      </c>
      <c r="L31" s="19">
        <f t="shared" si="9"/>
        <v>80.00455729</v>
      </c>
      <c r="M31" s="19" t="str">
        <f t="shared" si="9"/>
        <v>#DIV/0!</v>
      </c>
      <c r="N31" s="19">
        <f t="shared" si="9"/>
        <v>59.06934188</v>
      </c>
      <c r="O31" s="19">
        <f t="shared" si="9"/>
        <v>60.19432174</v>
      </c>
      <c r="P31" s="19">
        <f t="shared" si="9"/>
        <v>60.33596873</v>
      </c>
      <c r="Q31" s="19">
        <f t="shared" si="9"/>
        <v>60.37250718</v>
      </c>
      <c r="R31" s="19">
        <f t="shared" si="9"/>
        <v>63.41230412</v>
      </c>
      <c r="S31" s="19">
        <f t="shared" si="9"/>
        <v>68.41990723</v>
      </c>
      <c r="T31" s="19">
        <f t="shared" si="9"/>
        <v>70.22876915</v>
      </c>
      <c r="U31" s="19">
        <f t="shared" si="9"/>
        <v>71.43210296</v>
      </c>
      <c r="V31" s="19">
        <f t="shared" si="9"/>
        <v>77.87871359</v>
      </c>
      <c r="W31" s="19">
        <f t="shared" si="9"/>
        <v>84.86955893</v>
      </c>
      <c r="X31" s="19">
        <f t="shared" si="9"/>
        <v>90.27175687</v>
      </c>
      <c r="Y31" s="24"/>
      <c r="Z31" s="24"/>
    </row>
    <row r="32" ht="12.75" customHeight="1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ht="12.75" customHeight="1">
      <c r="A33" s="25" t="s">
        <v>54</v>
      </c>
      <c r="B33" s="26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 ht="12.75" customHeight="1">
      <c r="A34" s="25" t="s">
        <v>55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ht="12.75" customHeight="1">
      <c r="A35" s="25" t="s">
        <v>56</v>
      </c>
    </row>
    <row r="36" ht="12.75" customHeight="1">
      <c r="A36" s="25" t="s">
        <v>57</v>
      </c>
    </row>
    <row r="37" ht="12.75" customHeight="1">
      <c r="A37" s="25" t="s">
        <v>58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ht="12.75" customHeight="1">
      <c r="A38" s="25" t="s">
        <v>59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ht="12.75" customHeight="1">
      <c r="A39" s="25" t="s">
        <v>60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 ht="12.75" customHeight="1">
      <c r="A40" s="25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5" t="s">
        <v>61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ht="12.75" customHeight="1">
      <c r="A42" s="29" t="s">
        <v>62</v>
      </c>
    </row>
    <row r="43" ht="12.75" customHeight="1"/>
    <row r="44" ht="12.75" customHeight="1">
      <c r="A44" s="30" t="s">
        <v>63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</sheetData>
  <hyperlinks>
    <hyperlink r:id="rId1" ref="A44"/>
  </hyperlinks>
  <printOptions/>
  <pageMargins bottom="0.5" footer="0.0" header="0.0" left="0.0" right="0.0" top="0.5"/>
  <pageSetup scale="8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5"/>
    <col customWidth="1" min="2" max="11" width="5.13"/>
  </cols>
  <sheetData>
    <row r="1">
      <c r="A1" s="31" t="s">
        <v>64</v>
      </c>
      <c r="B1" s="31">
        <v>2014.0</v>
      </c>
      <c r="C1" s="31">
        <v>2015.0</v>
      </c>
      <c r="D1" s="31">
        <v>2016.0</v>
      </c>
      <c r="E1" s="31">
        <v>2017.0</v>
      </c>
      <c r="F1" s="31">
        <v>2018.0</v>
      </c>
      <c r="G1" s="31">
        <v>2019.0</v>
      </c>
      <c r="H1" s="31">
        <v>2020.0</v>
      </c>
      <c r="I1" s="31">
        <v>2021.0</v>
      </c>
      <c r="J1" s="31">
        <v>2022.0</v>
      </c>
      <c r="K1" s="31">
        <v>2023.0</v>
      </c>
    </row>
    <row r="2">
      <c r="A2" s="31" t="s">
        <v>65</v>
      </c>
      <c r="B2" s="32">
        <v>22.779417526446387</v>
      </c>
      <c r="C2" s="32">
        <v>24.220698890447647</v>
      </c>
      <c r="D2" s="32">
        <v>24.80132366043019</v>
      </c>
      <c r="E2" s="32">
        <v>25.449330426658364</v>
      </c>
      <c r="F2" s="32">
        <v>26.350375</v>
      </c>
      <c r="G2" s="32">
        <v>27.84206939281289</v>
      </c>
      <c r="H2" s="32">
        <v>28.646145704709827</v>
      </c>
      <c r="I2" s="32">
        <v>29.751634340050785</v>
      </c>
      <c r="J2" s="32">
        <v>31.69413378349863</v>
      </c>
      <c r="K2" s="32">
        <v>33.83325589799184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>
      <c r="A3" s="31" t="s">
        <v>66</v>
      </c>
      <c r="B3" s="32">
        <v>19.97243726842787</v>
      </c>
      <c r="C3" s="32">
        <v>21.36693729590461</v>
      </c>
      <c r="D3" s="32">
        <v>21.864804366490862</v>
      </c>
      <c r="E3" s="32">
        <v>22.221493547704675</v>
      </c>
      <c r="F3" s="32">
        <v>23.225151943029037</v>
      </c>
      <c r="G3" s="32">
        <v>24.2180158657233</v>
      </c>
      <c r="H3" s="32">
        <v>25.214873151027287</v>
      </c>
      <c r="I3" s="32">
        <v>26.076870506547113</v>
      </c>
      <c r="J3" s="32">
        <v>27.524526678141136</v>
      </c>
      <c r="K3" s="32">
        <v>29.245025205624835</v>
      </c>
      <c r="L3" s="32"/>
    </row>
    <row r="4">
      <c r="A4" s="33" t="s">
        <v>67</v>
      </c>
      <c r="B4" s="32">
        <f t="shared" ref="B4:K4" si="1">(B2-B3)/B3</f>
        <v>0.1405426999</v>
      </c>
      <c r="C4" s="32">
        <f t="shared" si="1"/>
        <v>0.1335596934</v>
      </c>
      <c r="D4" s="32">
        <f t="shared" si="1"/>
        <v>0.134303479</v>
      </c>
      <c r="E4" s="32">
        <f t="shared" si="1"/>
        <v>0.1452574226</v>
      </c>
      <c r="F4" s="32">
        <f t="shared" si="1"/>
        <v>0.1345620069</v>
      </c>
      <c r="G4" s="32">
        <f t="shared" si="1"/>
        <v>0.1496428753</v>
      </c>
      <c r="H4" s="32">
        <f t="shared" si="1"/>
        <v>0.1360812935</v>
      </c>
      <c r="I4" s="32">
        <f t="shared" si="1"/>
        <v>0.1409204311</v>
      </c>
      <c r="J4" s="32">
        <f t="shared" si="1"/>
        <v>0.1514869685</v>
      </c>
      <c r="K4" s="32">
        <f t="shared" si="1"/>
        <v>0.1568892713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1" t="s">
        <v>68</v>
      </c>
    </row>
    <row r="30">
      <c r="A30" s="31" t="s">
        <v>69</v>
      </c>
    </row>
    <row r="31">
      <c r="A31" s="34" t="s">
        <v>63</v>
      </c>
    </row>
    <row r="33">
      <c r="A33" s="31" t="s">
        <v>61</v>
      </c>
    </row>
  </sheetData>
  <hyperlinks>
    <hyperlink r:id="rId1" ref="A31"/>
  </hyperlinks>
  <drawing r:id="rId2"/>
</worksheet>
</file>